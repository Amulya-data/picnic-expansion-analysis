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ies" sheetId="1" state="visible" r:id="rId3"/>
    <sheet name="Read me" sheetId="2" state="visible" r:id="rId4"/>
    <sheet name="Age_25_44_data" sheetId="3" state="visible" r:id="rId5"/>
  </sheets>
  <definedNames>
    <definedName function="false" hidden="true" localSheetId="0" name="_xlnm._FilterDatabase" vbProcedure="false">Cities!$A$1:$J$31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Formula: Population ÷ Area. Fills in automatically once both are entered.</t>
        </r>
      </text>
    </comment>
    <comment ref="H1" authorId="0">
      <text>
        <r>
          <rPr>
            <sz val="10"/>
            <rFont val="Arial"/>
            <family val="2"/>
          </rPr>
          <t xml:space="preserve">Enter as a percentage, e.g. 40% (stored as 0.40).</t>
        </r>
      </text>
    </comment>
  </commentList>
</comments>
</file>

<file path=xl/sharedStrings.xml><?xml version="1.0" encoding="utf-8"?>
<sst xmlns="http://schemas.openxmlformats.org/spreadsheetml/2006/main" count="240" uniqueCount="128">
  <si>
    <t xml:space="preserve">City</t>
  </si>
  <si>
    <t xml:space="preserve">State</t>
  </si>
  <si>
    <t xml:space="preserve">Population</t>
  </si>
  <si>
    <t xml:space="preserve">Area_km2</t>
  </si>
  <si>
    <t xml:space="preserve">Density_per_km2</t>
  </si>
  <si>
    <t xml:space="preserve">Disposable_income_EUR</t>
  </si>
  <si>
    <t xml:space="preserve">Avg_household_size</t>
  </si>
  <si>
    <t xml:space="preserve">Share_aged_25_44</t>
  </si>
  <si>
    <t xml:space="preserve">Picnic_serves_already</t>
  </si>
  <si>
    <t xml:space="preserve">Notes_source</t>
  </si>
  <si>
    <t xml:space="preserve">Freiburg im Breisgau</t>
  </si>
  <si>
    <t xml:space="preserve">Baden-Württemberg</t>
  </si>
  <si>
    <t xml:space="preserve">No</t>
  </si>
  <si>
    <t xml:space="preserve">Pop. &amp; area: Wikipedia (EN) 'List of cities in Germany by population', pop. as of 31 Dec 2021 - verify | Income 2023: Statistikportal VGR der Länder, Reihe 2 Bd. 3 (Rev. 2024), Tab. 2.4, key 08311 | Household size: Zensus 2022 (15 May 2022), table 5000H-0001 'Average household size', key 08311 | Age share 2023: Wegweiser Kommune, pop. aged 25-44 (2023) / Population 2023 (Statistikportal VGR Tab. 3)</t>
  </si>
  <si>
    <t xml:space="preserve">Ulm</t>
  </si>
  <si>
    <t xml:space="preserve">Pop. &amp; area: Wikipedia (EN) 'List of cities in Germany by population', pop. as of 31 Dec 2021 - verify | Income 2023: Statistikportal VGR der Länder, Reihe 2 Bd. 3 (Rev. 2024), Tab. 2.4, key 08421 | Household size: Zensus 2022 (15 May 2022), table 5000H-0001 'Average household size', key 08421 | Age share 2023: Wegweiser Kommune, pop. aged 25-44 (2023) / Population 2023 (Statistikportal VGR Tab. 3)</t>
  </si>
  <si>
    <t xml:space="preserve">Pforzheim</t>
  </si>
  <si>
    <t xml:space="preserve">Pop. &amp; area: Wikipedia (EN) 'List of cities in Germany by population', pop. as of 31 Dec 2021 - verify | Income 2023: Statistikportal VGR der Länder, Reihe 2 Bd. 3 (Rev. 2024), Tab. 2.4, key 08231 | Household size: Zensus 2022 (15 May 2022), table 5000H-0001 'Average household size', key 08231 | Age share 2023: Wegweiser Kommune, pop. aged 25-44 (2023) / Population 2023 (Statistikportal VGR Tab. 3)</t>
  </si>
  <si>
    <t xml:space="preserve">Reutlingen</t>
  </si>
  <si>
    <t xml:space="preserve">Pop. &amp; area: Wikipedia (EN) 'List of cities in Germany by population', pop. as of 31 Dec 2021 - verify | Income 2023: Statistikportal VGR der Länder, Reihe 2 Bd. 3 (Rev. 2024), Tab. 2.4, key 08415 - DISTRICT value (Reutlingen, Landkreis), not the city alone | Household size: Zensus 2022 (15 May 2022), table 5000H-0001 'Average household size', key 08415 - DISTRICT value (Reutlingen, Landkreis), not the city alone | Age share FALLBACK 2021: Wegweiser Kommune pop. aged 25-44 (2021) / Population 31 Dec 2021 (Wikipedia) - no 2023 city population available; replace by filling Age_25_44_data!E</t>
  </si>
  <si>
    <t xml:space="preserve">Augsburg</t>
  </si>
  <si>
    <t xml:space="preserve">Bavaria</t>
  </si>
  <si>
    <t xml:space="preserve">Pop. &amp; area: Wikipedia (EN) 'List of cities in Germany by population', pop. as of 31 Dec 2021 - verify | Income 2023: Statistikportal VGR der Länder, Reihe 2 Bd. 3 (Rev. 2024), Tab. 2.4, key 09761 | Household size: Zensus 2022 (15 May 2022), table 5000H-0001 'Average household size', key 09761 | Age share 2023: Wegweiser Kommune, pop. aged 25-44 (2023) / Population 2023 (Statistikportal VGR Tab. 3) | Augsburg 2023 25-44 count (93,863) confirmed by user against the portal</t>
  </si>
  <si>
    <t xml:space="preserve">Regensburg</t>
  </si>
  <si>
    <t xml:space="preserve">Pop. &amp; area: Wikipedia (EN) 'List of cities in Germany by population', pop. as of 31 Dec 2021 - verify | Income 2023: Statistikportal VGR der Länder, Reihe 2 Bd. 3 (Rev. 2024), Tab. 2.4, key 09362 | Household size: Zensus 2022 (15 May 2022), table 5000H-0001 'Average household size', key 09362 | Age share 2023: Wegweiser Kommune, pop. aged 25-44 (2023) / Population 2023 (Statistikportal VGR Tab. 3)</t>
  </si>
  <si>
    <t xml:space="preserve">Ingolstadt</t>
  </si>
  <si>
    <t xml:space="preserve">Pop. &amp; area: Wikipedia (EN) 'List of cities in Germany by population', pop. as of 31 Dec 2021 - verify | Income 2023: Statistikportal VGR der Länder, Reihe 2 Bd. 3 (Rev. 2024), Tab. 2.4, key 09161 | Household size: Zensus 2022 (15 May 2022), table 5000H-0001 'Average household size', key 09161 | Age share 2023: Wegweiser Kommune, pop. aged 25-44 (2023) / Population 2023 (Statistikportal VGR Tab. 3)</t>
  </si>
  <si>
    <t xml:space="preserve">Fürth</t>
  </si>
  <si>
    <t xml:space="preserve">Pop. &amp; area: Wikipedia (EN) 'List of cities in Germany by population', pop. as of 31 Dec 2021 - verify | Income 2023: Statistikportal VGR der Länder, Reihe 2 Bd. 3 (Rev. 2024), Tab. 2.4, key 09563 | Household size: Zensus 2022 (15 May 2022), table 5000H-0001 'Average household size', key 09563 | Age share 2023: Wegweiser Kommune, pop. aged 25-44 (2023) / Population 2023 (Statistikportal VGR Tab. 3)</t>
  </si>
  <si>
    <t xml:space="preserve">Erlangen</t>
  </si>
  <si>
    <t xml:space="preserve">Pop. &amp; area: Wikipedia (EN) 'List of cities in Germany by population', pop. as of 31 Dec 2021 - verify | Income 2023: Statistikportal VGR der Länder, Reihe 2 Bd. 3 (Rev. 2024), Tab. 2.4, key 09562 | Household size: Zensus 2022 (15 May 2022), table 5000H-0001 'Average household size', key 09562 | Age share 2023: Wegweiser Kommune, pop. aged 25-44 (2023) / Population 2023 (Statistikportal VGR Tab. 3)</t>
  </si>
  <si>
    <t xml:space="preserve">Potsdam</t>
  </si>
  <si>
    <t xml:space="preserve">Brandenburg</t>
  </si>
  <si>
    <t xml:space="preserve">Pop. &amp; area: Wikipedia (EN) 'List of cities in Germany by population', pop. as of 31 Dec 2021 - verify | Income 2023: Statistikportal VGR der Länder, Reihe 2 Bd. 3 (Rev. 2024), Tab. 2.4, key 12054 | Household size: Zensus 2022 (15 May 2022), table 5000H-0001 'Average household size', key 12054 | Age share 2023: Wegweiser Kommune, pop. aged 25-44 (2023) / Population 2023 (Statistikportal VGR Tab. 3)</t>
  </si>
  <si>
    <t xml:space="preserve">Bremerhaven</t>
  </si>
  <si>
    <t xml:space="preserve">Bremen</t>
  </si>
  <si>
    <t xml:space="preserve">Pop. &amp; area: Wikipedia (EN) 'List of cities in Germany by population', pop. as of 31 Dec 2021 - verify | Income 2023: Statistikportal VGR der Länder, Reihe 2 Bd. 3 (Rev. 2024), Tab. 2.4, key 04012 | Household size: Zensus 2022 (15 May 2022), table 5000H-0001 'Average household size', key 04012 | Age share 2023: Wegweiser Kommune, pop. aged 25-44 (2023) / Population 2023 (Statistikportal VGR Tab. 3)</t>
  </si>
  <si>
    <t xml:space="preserve">Frankfurt am Main</t>
  </si>
  <si>
    <t xml:space="preserve">Hesse</t>
  </si>
  <si>
    <t xml:space="preserve">Pop. &amp; area: Wikipedia (EN) 'List of cities in Germany by population', pop. as of 31 Dec 2021 - verify | Income 2023: Statistikportal VGR der Länder, Reihe 2 Bd. 3 (Rev. 2024), Tab. 2.4, key 06412 | Household size: Zensus 2022 (15 May 2022), table 5000H-0001 'Average household size', key 06412 | Age share 2023: Wegweiser Kommune, pop. aged 25-44 (2023) / Population 2023 (Statistikportal VGR Tab. 3)</t>
  </si>
  <si>
    <t xml:space="preserve">Kassel</t>
  </si>
  <si>
    <t xml:space="preserve">Pop. &amp; area: Wikipedia (EN) 'List of cities in Germany by population', pop. as of 31 Dec 2021 - verify | Income 2023: Statistikportal VGR der Länder, Reihe 2 Bd. 3 (Rev. 2024), Tab. 2.4, key 06611 | Household size: Zensus 2022 (15 May 2022), table 5000H-0001 'Average household size', key 06611 | Age share 2023: Wegweiser Kommune, pop. aged 25-44 (2023) / Population 2023 (Statistikportal VGR Tab. 3)</t>
  </si>
  <si>
    <t xml:space="preserve">Göttingen</t>
  </si>
  <si>
    <t xml:space="preserve">Lower Saxony</t>
  </si>
  <si>
    <t xml:space="preserve">Pop. &amp; area: Wikipedia (EN) 'List of cities in Germany by population', pop. as of 31 Dec 2021 - verify | Income 2023: Statistikportal VGR der Länder, Reihe 2 Bd. 3 (Rev. 2024), Tab. 2.4, key 03159 - DISTRICT value (Göttingen, Landkreis), not the city alone | Household size: Zensus 2022 (15 May 2022), table 5000H-0001 'Average household size', key 03159 - DISTRICT value (Göttingen, Landkreis), not the city alone | Age share FALLBACK 2021: Wegweiser Kommune pop. aged 25-44 (2021) / Population 31 Dec 2021 (Wikipedia) - no 2023 city population available; replace by filling Age_25_44_data!E</t>
  </si>
  <si>
    <t xml:space="preserve">Rostock</t>
  </si>
  <si>
    <t xml:space="preserve">Mecklenburg-Vorpommern</t>
  </si>
  <si>
    <t xml:space="preserve">Pop. &amp; area: Wikipedia (EN) 'List of cities in Germany by population', pop. as of 31 Dec 2021 - verify | Income 2023: Statistikportal VGR der Länder, Reihe 2 Bd. 3 (Rev. 2024), Tab. 2.4, key 13003 | Household size: Zensus 2022 (15 May 2022), table 5000H-0001 'Average household size', key 13003 | Age share 2023: Wegweiser Kommune, pop. aged 25-44 (2023) / Population 2023 (Statistikportal VGR Tab. 3)</t>
  </si>
  <si>
    <t xml:space="preserve">Hagen</t>
  </si>
  <si>
    <t xml:space="preserve">North Rhine-Westphalia</t>
  </si>
  <si>
    <t xml:space="preserve">Pop. &amp; area: Wikipedia (EN) 'List of cities in Germany by population', pop. as of 31 Dec 2021 - verify | Income 2023: Statistikportal VGR der Länder, Reihe 2 Bd. 3 (Rev. 2024), Tab. 2.4, key 05914 | Household size: Zensus 2022 (15 May 2022), table 5000H-0001 'Average household size', key 05914 | Age share 2023: Wegweiser Kommune, pop. aged 25-44 (2023) / Population 2023 (Statistikportal VGR Tab. 3)</t>
  </si>
  <si>
    <t xml:space="preserve">Solingen</t>
  </si>
  <si>
    <t xml:space="preserve">Pop. &amp; area: Wikipedia (EN) 'List of cities in Germany by population', pop. as of 31 Dec 2021 - verify | Income 2023: Statistikportal VGR der Länder, Reihe 2 Bd. 3 (Rev. 2024), Tab. 2.4, key 05122 | Household size: Zensus 2022 (15 May 2022), table 5000H-0001 'Average household size', key 05122 | Age share 2023: Wegweiser Kommune, pop. aged 25-44 (2023) / Population 2023 (Statistikportal VGR Tab. 3)</t>
  </si>
  <si>
    <t xml:space="preserve">Bergisch Gladbach</t>
  </si>
  <si>
    <t xml:space="preserve">Pop. &amp; area: Wikipedia (EN) 'List of cities in Germany by population', pop. as of 31 Dec 2021 - verify | Income 2023: Statistikportal VGR der Länder, Reihe 2 Bd. 3 (Rev. 2024), Tab. 2.4, key 05378 - DISTRICT value (Rheinisch-Bergischer Kreis), not the city alone | Household size: Zensus 2022 (15 May 2022), table 5000H-0001 'Average household size', key 05378 - DISTRICT value (Rheinisch-Bergischer Kreis), not the city alone | Age share FALLBACK 2021: Wegweiser Kommune pop. aged 25-44 (2021) / Population 31 Dec 2021 (Wikipedia) - no 2023 city population available; replace by filling Age_25_44_data!E</t>
  </si>
  <si>
    <t xml:space="preserve">Recklinghausen</t>
  </si>
  <si>
    <t xml:space="preserve">Pop. &amp; area: Wikipedia (EN) 'List of cities in Germany by population', pop. as of 31 Dec 2021 - verify | Income 2023: Statistikportal VGR der Länder, Reihe 2 Bd. 3 (Rev. 2024), Tab. 2.4, key 05562 - DISTRICT value (Recklinghausen, Kreis), not the city alone | Household size: Zensus 2022 (15 May 2022), table 5000H-0001 'Average household size', key 05562 - DISTRICT value (Kreis Recklinghausen), not the city alone | Age share FALLBACK 2021: Wegweiser Kommune pop. aged 25-44 (2021) / Population 31 Dec 2021 (Wikipedia) - no 2023 city population available; replace by filling Age_25_44_data!E</t>
  </si>
  <si>
    <t xml:space="preserve">Bottrop</t>
  </si>
  <si>
    <t xml:space="preserve">Pop. &amp; area: Wikipedia (EN) 'List of cities in Germany by population', pop. as of 31 Dec 2021 - verify | Income 2023: Statistikportal VGR der Länder, Reihe 2 Bd. 3 (Rev. 2024), Tab. 2.4, key 05512 | Household size: Zensus 2022 (15 May 2022), table 5000H-0001 'Average household size', key 05512 | Age share 2023: Wegweiser Kommune, pop. aged 25-44 (2023) / Population 2023 (Statistikportal VGR Tab. 3)</t>
  </si>
  <si>
    <t xml:space="preserve">Mainz</t>
  </si>
  <si>
    <t xml:space="preserve">Rhineland-Palatinate</t>
  </si>
  <si>
    <t xml:space="preserve">Pop. &amp; area: Wikipedia (EN) 'List of cities in Germany by population', pop. as of 31 Dec 2021 - verify | Income 2023: Statistikportal VGR der Länder, Reihe 2 Bd. 3 (Rev. 2024), Tab. 2.4, key 07315 | Household size: Zensus 2022 (15 May 2022), table 5000H-0001 'Average household size', key 07315 | Age share 2023: Wegweiser Kommune, pop. aged 25-44 (2023) / Population 2023 (Statistikportal VGR Tab. 3)</t>
  </si>
  <si>
    <t xml:space="preserve">Koblenz</t>
  </si>
  <si>
    <t xml:space="preserve">Pop. &amp; area: Wikipedia (EN) 'List of cities in Germany by population', pop. as of 31 Dec 2021 - verify | Income 2023: Statistikportal VGR der Länder, Reihe 2 Bd. 3 (Rev. 2024), Tab. 2.4, key 07111 | Household size: Zensus 2022 (15 May 2022), table 5000H-0001 'Average household size', key 07111 | Age share 2023: Wegweiser Kommune, pop. aged 25-44 (2023) / Population 2023 (Statistikportal VGR Tab. 3)</t>
  </si>
  <si>
    <t xml:space="preserve">Trier</t>
  </si>
  <si>
    <t xml:space="preserve">Pop. &amp; area: Wikipedia (EN) 'List of cities in Germany by population', pop. as of 31 Dec 2021 - verify | Income 2023: Statistikportal VGR der Länder, Reihe 2 Bd. 3 (Rev. 2024), Tab. 2.4, key 07211 | Household size: Zensus 2022 (15 May 2022), table 5000H-0001 'Average household size', key 07211 | Age share 2023: Wegweiser Kommune, pop. aged 25-44 (2023) / Population 2023 (Statistikportal VGR Tab. 3)</t>
  </si>
  <si>
    <t xml:space="preserve">Ludwigshafen am Rhein</t>
  </si>
  <si>
    <t xml:space="preserve">Pop. &amp; area: Wikipedia (EN) 'List of cities in Germany by population', pop. as of 31 Dec 2021 - verify | Income 2023: Statistikportal VGR der Länder, Reihe 2 Bd. 3 (Rev. 2024), Tab. 2.4, key 07314 | Household size: Zensus 2022 (15 May 2022), table 5000H-0001 'Average household size', key 07314 | Age share 2023: Wegweiser Kommune, pop. aged 25-44 (2023) / Population 2023 (Statistikportal VGR Tab. 3)</t>
  </si>
  <si>
    <t xml:space="preserve">Saarbrücken</t>
  </si>
  <si>
    <t xml:space="preserve">Saarland</t>
  </si>
  <si>
    <t xml:space="preserve">Pop. &amp; area: Wikipedia (EN) 'List of cities in Germany by population', pop. as of 31 Dec 2021 - verify | Income 2023: Statistikportal VGR der Länder, Reihe 2 Bd. 3 (Rev. 2024), Tab. 2.4, key 10041 - DISTRICT value (Saarbrücken, Regionalverband), not the city alone | Household size: Zensus 2022 (15 May 2022), table 5000H-0001 'Average household size', key 10041 - DISTRICT value (Regionalverband Saarbrücken), not the city alone | Age share FALLBACK 2021: Wegweiser Kommune pop. aged 25-44 (2021) / Population 31 Dec 2021 (Wikipedia) - no 2023 city population available; replace by filling Age_25_44_data!E</t>
  </si>
  <si>
    <t xml:space="preserve">Leipzig</t>
  </si>
  <si>
    <t xml:space="preserve">Saxony</t>
  </si>
  <si>
    <t xml:space="preserve">Pop. &amp; area: Wikipedia (EN) 'List of cities in Germany by population', pop. as of 31 Dec 2021 - verify | Income 2023: Statistikportal VGR der Länder, Reihe 2 Bd. 3 (Rev. 2024), Tab. 2.4, key 14713 | Household size: Zensus 2022 (15 May 2022), table 5000H-0001 'Average household size', key 14713 | Age share 2023: Wegweiser Kommune, pop. aged 25-44 (2023) / Population 2023 (Statistikportal VGR Tab. 3)</t>
  </si>
  <si>
    <t xml:space="preserve">Chemnitz</t>
  </si>
  <si>
    <t xml:space="preserve">Pop. &amp; area: Wikipedia (EN) 'List of cities in Germany by population', pop. as of 31 Dec 2021 - verify | Income 2023: Statistikportal VGR der Länder, Reihe 2 Bd. 3 (Rev. 2024), Tab. 2.4, key 14511 | Household size: Zensus 2022 (15 May 2022), table 5000H-0001 'Average household size', key 14511 | Age share 2023: Wegweiser Kommune, pop. aged 25-44 (2023) / Population 2023 (Statistikportal VGR Tab. 3)</t>
  </si>
  <si>
    <t xml:space="preserve">Kiel</t>
  </si>
  <si>
    <t xml:space="preserve">Schleswig-Holstein</t>
  </si>
  <si>
    <t xml:space="preserve">Pop. &amp; area: Wikipedia (EN) 'List of cities in Germany by population', pop. as of 31 Dec 2021 - verify | Income 2023: Statistikportal VGR der Länder, Reihe 2 Bd. 3 (Rev. 2024), Tab. 2.4, key 01002 | Household size: Zensus 2022 (15 May 2022), table 5000H-0001 'Average household size', key 01002 | Age share 2023: Wegweiser Kommune, pop. aged 25-44 (2023) / Population 2023 (Statistikportal VGR Tab. 3)</t>
  </si>
  <si>
    <t xml:space="preserve">Erfurt</t>
  </si>
  <si>
    <t xml:space="preserve">Thuringia</t>
  </si>
  <si>
    <t xml:space="preserve">Pop. &amp; area: Wikipedia (EN) 'List of cities in Germany by population', pop. as of 31 Dec 2021 - verify | Income 2023: Statistikportal VGR der Länder, Reihe 2 Bd. 3 (Rev. 2024), Tab. 2.4, key 16051 | Household size: Zensus 2022 (15 May 2022), table 5000H-0001 'Average household size', key 16051 | Age share 2023: Wegweiser Kommune, pop. aged 25-44 (2023) / Population 2023 (Statistikportal VGR Tab. 3)</t>
  </si>
  <si>
    <t xml:space="preserve">Jena</t>
  </si>
  <si>
    <t xml:space="preserve">Pop. &amp; area: Wikipedia (EN) 'List of cities in Germany by population', pop. as of 31 Dec 2021 - verify | Income 2023: Statistikportal VGR der Länder, Reihe 2 Bd. 3 (Rev. 2024), Tab. 2.4, key 16053 | Household size: Zensus 2022 (15 May 2022), table 5000H-0001 'Average household size', key 16053 | Age share 2023: Wegweiser Kommune, pop. aged 25-44 (2023) / Population 2023 (Statistikportal VGR Tab. 3)</t>
  </si>
  <si>
    <t xml:space="preserve">How to use this table</t>
  </si>
  <si>
    <t xml:space="preserve">All 30 rows (yellow)</t>
  </si>
  <si>
    <t xml:space="preserve">Cities NOT on Picnic's location list. These are your candidates. Fill in Disposable income, Household size, Share aged 25-44 (2023) and Notes_source (Population and Area are already filled in, please verify).</t>
  </si>
  <si>
    <t xml:space="preserve">Served cities removed</t>
  </si>
  <si>
    <t xml:space="preserve">The 34 cities Picnic already serves were moved to Picnic_served_cities_backup.xlsx. Optional: use them later to test whether served cities score high in your model.</t>
  </si>
  <si>
    <t xml:space="preserve">Grey column E</t>
  </si>
  <si>
    <t xml:space="preserve">Density is a formula (Population ÷ Area). Don't type there.</t>
  </si>
  <si>
    <t xml:space="preserve">Filled using the list of Picnic locations you provided (picnic.app/de/locations, October 2026). Picnic adds cities over time, so re-check before you finish.</t>
  </si>
  <si>
    <t xml:space="preserve">Write where each number came from (e.g. Regionalatlas 2023). This goes into your README later.</t>
  </si>
  <si>
    <t xml:space="preserve">Filter</t>
  </si>
  <si>
    <t xml:space="preserve">Use the filter arrow on Picnic_serves_already to show only 'No' cities.</t>
  </si>
  <si>
    <t xml:space="preserve">Where to find the data</t>
  </si>
  <si>
    <t xml:space="preserve">As far as I know (please confirm as you go):</t>
  </si>
  <si>
    <t xml:space="preserve">Population, Area</t>
  </si>
  <si>
    <t xml:space="preserve">Wikipedia 'Liste der Großstädte in Deutschland', or Destatis (destatis.de)</t>
  </si>
  <si>
    <t xml:space="preserve">Disposable income</t>
  </si>
  <si>
    <t xml:space="preserve">Regionalatlas Deutschland (regionalatlas.statistikportal.de), indicator 'Verfügbares Einkommen der privaten Haushalte je Einwohner'</t>
  </si>
  <si>
    <t xml:space="preserve">Household size, age structure</t>
  </si>
  <si>
    <t xml:space="preserve">Zensus 2022 (ergebnisse.zensus2022.de)</t>
  </si>
  <si>
    <t xml:space="preserve">Format example (NOT real data)</t>
  </si>
  <si>
    <t xml:space="preserve">Only shows how to type numbers. Do not use these values.</t>
  </si>
  <si>
    <t xml:space="preserve">Income_EUR</t>
  </si>
  <si>
    <t xml:space="preserve">Household_size</t>
  </si>
  <si>
    <t xml:space="preserve">Share_25_44</t>
  </si>
  <si>
    <t xml:space="preserve">Serves already?</t>
  </si>
  <si>
    <t xml:space="preserve">Example City</t>
  </si>
  <si>
    <t xml:space="preserve">Progress</t>
  </si>
  <si>
    <t xml:space="preserve">Cities listed</t>
  </si>
  <si>
    <t xml:space="preserve">Not served by Picnic ('No')</t>
  </si>
  <si>
    <t xml:space="preserve">'No' cities with all 5 numbers filled in (target 25-30)</t>
  </si>
  <si>
    <t xml:space="preserve">Pop_aged_25_44_2021</t>
  </si>
  <si>
    <t xml:space="preserve">Pop_aged_25_44_2023</t>
  </si>
  <si>
    <t xml:space="preserve">Source</t>
  </si>
  <si>
    <t xml:space="preserve">Population_2023</t>
  </si>
  <si>
    <t xml:space="preserve">Wegweiser Kommune (Bertelsmann Stiftung), indicator "Bevölkerung 25- bis 44-Jährige", city level, retrieved Oct 2026</t>
  </si>
  <si>
    <t xml:space="preserve">Notes</t>
  </si>
  <si>
    <t xml:space="preserve">Share_aged_25_44 in sheet Cities = Pop_aged_25_44_2021 / Population (Cities column C, 31 Dec 2021). Same reference year for numerator and denominator.</t>
  </si>
  <si>
    <t xml:space="preserve">Why 2021: the 2022/2023 counts are on the Zensus 2022 basis, the Population column is on the older basis; mixing them would bias the share. 2023 counts are kept here for a later update once 2023 populations are added.</t>
  </si>
  <si>
    <t xml:space="preserve">Augsburg series was scrambled in the copy-paste and rebuilt (86,098 ... 93,863); please verify against the portal.</t>
  </si>
  <si>
    <t xml:space="preserve">Kiel 2023 value read as 76,549 (digits partly cut off in the paste); not used in the 2021 share.</t>
  </si>
  <si>
    <t xml:space="preserve">Age band is 25-44 (portal offers no 25-55 or 25-54 indicator).</t>
  </si>
  <si>
    <t xml:space="preserve">Population_2023: from Statistikportal VGR der Länder (Reihe 2 Bd. 3, Rev. 2024), Tab. 3 'Einwohnerinnen und Einwohner' (2023, in 1000 persons x 1000), only for cities that are districts of their own. Cross-check: the 2021 values of this table match the Wikipedia 2021 figures within 0.4% for these 25 cities.</t>
  </si>
  <si>
    <t xml:space="preserve">ORANGE cells: Reutlingen, Göttingen, Bergisch Gladbach, Recklinghausen, Saarbrücken have no 2023 city population (the file only has district totals). Their share uses the 2021 count / 2021 population instead (the Cities sheet marks them orange). If you later add the 2023 CITY population in column E, the formula switches to 2023 automatically.</t>
  </si>
  <si>
    <t xml:space="preserve">Share_aged_25_44 (sheet Cities) = Pop_aged_25_44_2023 / Population_2023. The 2021 columns are kept for reference only and are no longer used.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</si>
</sst>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0"/>
    <numFmt numFmtId="168" formatCode="0.0%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EDEDED"/>
        <bgColor rgb="FFFCE4D6"/>
      </patternFill>
    </fill>
    <fill>
      <patternFill patternType="solid">
        <fgColor rgb="FFFCE4D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9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8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4" t="n">
        <v>231848</v>
      </c>
      <c r="D2" s="5" t="n">
        <v>153.1</v>
      </c>
      <c r="E2" s="6" t="n">
        <f aca="false">IF(AND(ISNUMBER(C2),ISNUMBER(D2),D2&gt;0),C2/D2,"")</f>
        <v>1514.35662965382</v>
      </c>
      <c r="F2" s="4" t="n">
        <v>27158</v>
      </c>
      <c r="G2" s="7" t="n">
        <v>2</v>
      </c>
      <c r="H2" s="8" t="n">
        <f aca="false">IF(ISNUMBER(INDEX(Age_25_44_data!$E:$E,MATCH($A2,Age_25_44_data!$A:$A,0))),INDEX(Age_25_44_data!$C:$C,MATCH($A2,Age_25_44_data!$A:$A,0))/INDEX(Age_25_44_data!$E:$E,MATCH($A2,Age_25_44_data!$A:$A,0)),INDEX(Age_25_44_data!$B:$B,MATCH($A2,Age_25_44_data!$A:$A,0))/$C2)</f>
        <v>0.322326060872357</v>
      </c>
      <c r="I2" s="9" t="s">
        <v>12</v>
      </c>
      <c r="J2" s="10" t="s">
        <v>13</v>
      </c>
    </row>
    <row r="3" customFormat="false" ht="15" hidden="false" customHeight="true" outlineLevel="0" collapsed="false">
      <c r="A3" s="3" t="s">
        <v>14</v>
      </c>
      <c r="B3" s="3" t="s">
        <v>11</v>
      </c>
      <c r="C3" s="4" t="n">
        <v>126949</v>
      </c>
      <c r="D3" s="5" t="n">
        <v>118.7</v>
      </c>
      <c r="E3" s="6" t="n">
        <f aca="false">IF(AND(ISNUMBER(C3),ISNUMBER(D3),D3&gt;0),C3/D3,"")</f>
        <v>1069.49452401011</v>
      </c>
      <c r="F3" s="4" t="n">
        <v>32974</v>
      </c>
      <c r="G3" s="7" t="n">
        <v>2.1</v>
      </c>
      <c r="H3" s="8" t="n">
        <f aca="false">IF(ISNUMBER(INDEX(Age_25_44_data!$E:$E,MATCH($A3,Age_25_44_data!$A:$A,0))),INDEX(Age_25_44_data!$C:$C,MATCH($A3,Age_25_44_data!$A:$A,0))/INDEX(Age_25_44_data!$E:$E,MATCH($A3,Age_25_44_data!$A:$A,0)),INDEX(Age_25_44_data!$B:$B,MATCH($A3,Age_25_44_data!$A:$A,0))/$C3)</f>
        <v>0.306501332715263</v>
      </c>
      <c r="I3" s="9" t="s">
        <v>12</v>
      </c>
      <c r="J3" s="10" t="s">
        <v>15</v>
      </c>
    </row>
    <row r="4" customFormat="false" ht="15" hidden="false" customHeight="true" outlineLevel="0" collapsed="false">
      <c r="A4" s="3" t="s">
        <v>16</v>
      </c>
      <c r="B4" s="3" t="s">
        <v>11</v>
      </c>
      <c r="C4" s="4" t="n">
        <v>125529</v>
      </c>
      <c r="D4" s="5" t="n">
        <v>98</v>
      </c>
      <c r="E4" s="6" t="n">
        <f aca="false">IF(AND(ISNUMBER(C4),ISNUMBER(D4),D4&gt;0),C4/D4,"")</f>
        <v>1280.90816326531</v>
      </c>
      <c r="F4" s="4" t="n">
        <v>26823</v>
      </c>
      <c r="G4" s="7" t="n">
        <v>2.2</v>
      </c>
      <c r="H4" s="8" t="n">
        <f aca="false">IF(ISNUMBER(INDEX(Age_25_44_data!$E:$E,MATCH($A4,Age_25_44_data!$A:$A,0))),INDEX(Age_25_44_data!$C:$C,MATCH($A4,Age_25_44_data!$A:$A,0))/INDEX(Age_25_44_data!$E:$E,MATCH($A4,Age_25_44_data!$A:$A,0)),INDEX(Age_25_44_data!$B:$B,MATCH($A4,Age_25_44_data!$A:$A,0))/$C4)</f>
        <v>0.275609129348004</v>
      </c>
      <c r="I4" s="9" t="s">
        <v>12</v>
      </c>
      <c r="J4" s="10" t="s">
        <v>17</v>
      </c>
    </row>
    <row r="5" customFormat="false" ht="15" hidden="false" customHeight="true" outlineLevel="0" collapsed="false">
      <c r="A5" s="3" t="s">
        <v>18</v>
      </c>
      <c r="B5" s="3" t="s">
        <v>11</v>
      </c>
      <c r="C5" s="4" t="n">
        <v>116456</v>
      </c>
      <c r="D5" s="5" t="n">
        <v>87.1</v>
      </c>
      <c r="E5" s="6" t="n">
        <f aca="false">IF(AND(ISNUMBER(C5),ISNUMBER(D5),D5&gt;0),C5/D5,"")</f>
        <v>1337.03788748565</v>
      </c>
      <c r="F5" s="4" t="n">
        <v>30012</v>
      </c>
      <c r="G5" s="7" t="n">
        <v>2.2</v>
      </c>
      <c r="H5" s="11" t="n">
        <f aca="false">IF(ISNUMBER(INDEX(Age_25_44_data!$E:$E,MATCH($A5,Age_25_44_data!$A:$A,0))),INDEX(Age_25_44_data!$C:$C,MATCH($A5,Age_25_44_data!$A:$A,0))/INDEX(Age_25_44_data!$E:$E,MATCH($A5,Age_25_44_data!$A:$A,0)),INDEX(Age_25_44_data!$B:$B,MATCH($A5,Age_25_44_data!$A:$A,0))/$C5)</f>
        <v>0.256036614687092</v>
      </c>
      <c r="I5" s="9" t="s">
        <v>12</v>
      </c>
      <c r="J5" s="10" t="s">
        <v>19</v>
      </c>
    </row>
    <row r="6" customFormat="false" ht="15" hidden="false" customHeight="true" outlineLevel="0" collapsed="false">
      <c r="A6" s="3" t="s">
        <v>20</v>
      </c>
      <c r="B6" s="3" t="s">
        <v>21</v>
      </c>
      <c r="C6" s="4" t="n">
        <v>296478</v>
      </c>
      <c r="D6" s="5" t="n">
        <v>146.8</v>
      </c>
      <c r="E6" s="6" t="n">
        <f aca="false">IF(AND(ISNUMBER(C6),ISNUMBER(D6),D6&gt;0),C6/D6,"")</f>
        <v>2019.60490463215</v>
      </c>
      <c r="F6" s="4" t="n">
        <v>25528</v>
      </c>
      <c r="G6" s="7" t="n">
        <v>1.9</v>
      </c>
      <c r="H6" s="8" t="n">
        <f aca="false">IF(ISNUMBER(INDEX(Age_25_44_data!$E:$E,MATCH($A6,Age_25_44_data!$A:$A,0))),INDEX(Age_25_44_data!$C:$C,MATCH($A6,Age_25_44_data!$A:$A,0))/INDEX(Age_25_44_data!$E:$E,MATCH($A6,Age_25_44_data!$A:$A,0)),INDEX(Age_25_44_data!$B:$B,MATCH($A6,Age_25_44_data!$A:$A,0))/$C6)</f>
        <v>0.310709982389471</v>
      </c>
      <c r="I6" s="9" t="s">
        <v>12</v>
      </c>
      <c r="J6" s="10" t="s">
        <v>22</v>
      </c>
    </row>
    <row r="7" customFormat="false" ht="15" hidden="false" customHeight="true" outlineLevel="0" collapsed="false">
      <c r="A7" s="3" t="s">
        <v>23</v>
      </c>
      <c r="B7" s="3" t="s">
        <v>21</v>
      </c>
      <c r="C7" s="4" t="n">
        <v>153542</v>
      </c>
      <c r="D7" s="5" t="n">
        <v>80.8</v>
      </c>
      <c r="E7" s="6" t="n">
        <f aca="false">IF(AND(ISNUMBER(C7),ISNUMBER(D7),D7&gt;0),C7/D7,"")</f>
        <v>1900.27227722772</v>
      </c>
      <c r="F7" s="4" t="n">
        <v>29370</v>
      </c>
      <c r="G7" s="7" t="n">
        <v>1.7</v>
      </c>
      <c r="H7" s="8" t="n">
        <f aca="false">IF(ISNUMBER(INDEX(Age_25_44_data!$E:$E,MATCH($A7,Age_25_44_data!$A:$A,0))),INDEX(Age_25_44_data!$C:$C,MATCH($A7,Age_25_44_data!$A:$A,0))/INDEX(Age_25_44_data!$E:$E,MATCH($A7,Age_25_44_data!$A:$A,0)),INDEX(Age_25_44_data!$B:$B,MATCH($A7,Age_25_44_data!$A:$A,0))/$C7)</f>
        <v>0.347709745415073</v>
      </c>
      <c r="I7" s="9" t="s">
        <v>12</v>
      </c>
      <c r="J7" s="10" t="s">
        <v>24</v>
      </c>
    </row>
    <row r="8" customFormat="false" ht="15" hidden="false" customHeight="true" outlineLevel="0" collapsed="false">
      <c r="A8" s="3" t="s">
        <v>25</v>
      </c>
      <c r="B8" s="3" t="s">
        <v>21</v>
      </c>
      <c r="C8" s="4" t="n">
        <v>138016</v>
      </c>
      <c r="D8" s="5" t="n">
        <v>133.4</v>
      </c>
      <c r="E8" s="6" t="n">
        <f aca="false">IF(AND(ISNUMBER(C8),ISNUMBER(D8),D8&gt;0),C8/D8,"")</f>
        <v>1034.60269865067</v>
      </c>
      <c r="F8" s="4" t="n">
        <v>28643</v>
      </c>
      <c r="G8" s="7" t="n">
        <v>2</v>
      </c>
      <c r="H8" s="8" t="n">
        <f aca="false">IF(ISNUMBER(INDEX(Age_25_44_data!$E:$E,MATCH($A8,Age_25_44_data!$A:$A,0))),INDEX(Age_25_44_data!$C:$C,MATCH($A8,Age_25_44_data!$A:$A,0))/INDEX(Age_25_44_data!$E:$E,MATCH($A8,Age_25_44_data!$A:$A,0)),INDEX(Age_25_44_data!$B:$B,MATCH($A8,Age_25_44_data!$A:$A,0))/$C8)</f>
        <v>0.304646746994755</v>
      </c>
      <c r="I8" s="9" t="s">
        <v>12</v>
      </c>
      <c r="J8" s="10" t="s">
        <v>26</v>
      </c>
    </row>
    <row r="9" customFormat="false" ht="15" hidden="false" customHeight="true" outlineLevel="0" collapsed="false">
      <c r="A9" s="3" t="s">
        <v>27</v>
      </c>
      <c r="B9" s="3" t="s">
        <v>21</v>
      </c>
      <c r="C9" s="4" t="n">
        <v>129122</v>
      </c>
      <c r="D9" s="5" t="n">
        <v>63.4</v>
      </c>
      <c r="E9" s="6" t="n">
        <f aca="false">IF(AND(ISNUMBER(C9),ISNUMBER(D9),D9&gt;0),C9/D9,"")</f>
        <v>2036.62460567823</v>
      </c>
      <c r="F9" s="4" t="n">
        <v>32437</v>
      </c>
      <c r="G9" s="7" t="n">
        <v>2</v>
      </c>
      <c r="H9" s="8" t="n">
        <f aca="false">IF(ISNUMBER(INDEX(Age_25_44_data!$E:$E,MATCH($A9,Age_25_44_data!$A:$A,0))),INDEX(Age_25_44_data!$C:$C,MATCH($A9,Age_25_44_data!$A:$A,0))/INDEX(Age_25_44_data!$E:$E,MATCH($A9,Age_25_44_data!$A:$A,0)),INDEX(Age_25_44_data!$B:$B,MATCH($A9,Age_25_44_data!$A:$A,0))/$C9)</f>
        <v>0.288257308343392</v>
      </c>
      <c r="I9" s="9" t="s">
        <v>12</v>
      </c>
      <c r="J9" s="10" t="s">
        <v>28</v>
      </c>
    </row>
    <row r="10" customFormat="false" ht="15" hidden="false" customHeight="true" outlineLevel="0" collapsed="false">
      <c r="A10" s="3" t="s">
        <v>29</v>
      </c>
      <c r="B10" s="3" t="s">
        <v>21</v>
      </c>
      <c r="C10" s="4" t="n">
        <v>113292</v>
      </c>
      <c r="D10" s="5" t="n">
        <v>77</v>
      </c>
      <c r="E10" s="6" t="n">
        <f aca="false">IF(AND(ISNUMBER(C10),ISNUMBER(D10),D10&gt;0),C10/D10,"")</f>
        <v>1471.32467532468</v>
      </c>
      <c r="F10" s="4" t="n">
        <v>30114</v>
      </c>
      <c r="G10" s="7" t="n">
        <v>1.9</v>
      </c>
      <c r="H10" s="8" t="n">
        <f aca="false">IF(ISNUMBER(INDEX(Age_25_44_data!$E:$E,MATCH($A10,Age_25_44_data!$A:$A,0))),INDEX(Age_25_44_data!$C:$C,MATCH($A10,Age_25_44_data!$A:$A,0))/INDEX(Age_25_44_data!$E:$E,MATCH($A10,Age_25_44_data!$A:$A,0)),INDEX(Age_25_44_data!$B:$B,MATCH($A10,Age_25_44_data!$A:$A,0))/$C10)</f>
        <v>0.329643978700164</v>
      </c>
      <c r="I10" s="9" t="s">
        <v>12</v>
      </c>
      <c r="J10" s="10" t="s">
        <v>30</v>
      </c>
    </row>
    <row r="11" customFormat="false" ht="15" hidden="false" customHeight="true" outlineLevel="0" collapsed="false">
      <c r="A11" s="3" t="s">
        <v>31</v>
      </c>
      <c r="B11" s="3" t="s">
        <v>32</v>
      </c>
      <c r="C11" s="4" t="n">
        <v>183154</v>
      </c>
      <c r="D11" s="5" t="n">
        <v>187.3</v>
      </c>
      <c r="E11" s="6" t="n">
        <f aca="false">IF(AND(ISNUMBER(C11),ISNUMBER(D11),D11&gt;0),C11/D11,"")</f>
        <v>977.86438868126</v>
      </c>
      <c r="F11" s="4" t="n">
        <v>27311</v>
      </c>
      <c r="G11" s="7" t="n">
        <v>1.9</v>
      </c>
      <c r="H11" s="8" t="n">
        <f aca="false">IF(ISNUMBER(INDEX(Age_25_44_data!$E:$E,MATCH($A11,Age_25_44_data!$A:$A,0))),INDEX(Age_25_44_data!$C:$C,MATCH($A11,Age_25_44_data!$A:$A,0))/INDEX(Age_25_44_data!$E:$E,MATCH($A11,Age_25_44_data!$A:$A,0)),INDEX(Age_25_44_data!$B:$B,MATCH($A11,Age_25_44_data!$A:$A,0))/$C11)</f>
        <v>0.291184595167216</v>
      </c>
      <c r="I11" s="9" t="s">
        <v>12</v>
      </c>
      <c r="J11" s="10" t="s">
        <v>33</v>
      </c>
    </row>
    <row r="12" customFormat="false" ht="15" hidden="false" customHeight="true" outlineLevel="0" collapsed="false">
      <c r="A12" s="3" t="s">
        <v>34</v>
      </c>
      <c r="B12" s="3" t="s">
        <v>35</v>
      </c>
      <c r="C12" s="4" t="n">
        <v>113173</v>
      </c>
      <c r="D12" s="5" t="n">
        <v>93.8</v>
      </c>
      <c r="E12" s="6" t="n">
        <f aca="false">IF(AND(ISNUMBER(C12),ISNUMBER(D12),D12&gt;0),C12/D12,"")</f>
        <v>1206.53518123667</v>
      </c>
      <c r="F12" s="4" t="n">
        <v>21951</v>
      </c>
      <c r="G12" s="7" t="n">
        <v>1.9</v>
      </c>
      <c r="H12" s="8" t="n">
        <f aca="false">IF(ISNUMBER(INDEX(Age_25_44_data!$E:$E,MATCH($A12,Age_25_44_data!$A:$A,0))),INDEX(Age_25_44_data!$C:$C,MATCH($A12,Age_25_44_data!$A:$A,0))/INDEX(Age_25_44_data!$E:$E,MATCH($A12,Age_25_44_data!$A:$A,0)),INDEX(Age_25_44_data!$B:$B,MATCH($A12,Age_25_44_data!$A:$A,0))/$C12)</f>
        <v>0.247121392507365</v>
      </c>
      <c r="I12" s="9" t="s">
        <v>12</v>
      </c>
      <c r="J12" s="10" t="s">
        <v>36</v>
      </c>
    </row>
    <row r="13" customFormat="false" ht="15" hidden="false" customHeight="true" outlineLevel="0" collapsed="false">
      <c r="A13" s="3" t="s">
        <v>37</v>
      </c>
      <c r="B13" s="3" t="s">
        <v>38</v>
      </c>
      <c r="C13" s="4" t="n">
        <v>759224</v>
      </c>
      <c r="D13" s="5" t="n">
        <v>248.31</v>
      </c>
      <c r="E13" s="6" t="n">
        <f aca="false">IF(AND(ISNUMBER(C13),ISNUMBER(D13),D13&gt;0),C13/D13,"")</f>
        <v>3057.56514034876</v>
      </c>
      <c r="F13" s="4" t="n">
        <v>29442</v>
      </c>
      <c r="G13" s="7" t="n">
        <v>1.9</v>
      </c>
      <c r="H13" s="8" t="n">
        <f aca="false">IF(ISNUMBER(INDEX(Age_25_44_data!$E:$E,MATCH($A13,Age_25_44_data!$A:$A,0))),INDEX(Age_25_44_data!$C:$C,MATCH($A13,Age_25_44_data!$A:$A,0))/INDEX(Age_25_44_data!$E:$E,MATCH($A13,Age_25_44_data!$A:$A,0)),INDEX(Age_25_44_data!$B:$B,MATCH($A13,Age_25_44_data!$A:$A,0))/$C13)</f>
        <v>0.333454713085383</v>
      </c>
      <c r="I13" s="9" t="s">
        <v>12</v>
      </c>
      <c r="J13" s="10" t="s">
        <v>39</v>
      </c>
    </row>
    <row r="14" customFormat="false" ht="15" hidden="false" customHeight="true" outlineLevel="0" collapsed="false">
      <c r="A14" s="3" t="s">
        <v>40</v>
      </c>
      <c r="B14" s="3" t="s">
        <v>38</v>
      </c>
      <c r="C14" s="4" t="n">
        <v>200406</v>
      </c>
      <c r="D14" s="5" t="n">
        <v>107</v>
      </c>
      <c r="E14" s="6" t="n">
        <f aca="false">IF(AND(ISNUMBER(C14),ISNUMBER(D14),D14&gt;0),C14/D14,"")</f>
        <v>1872.95327102804</v>
      </c>
      <c r="F14" s="4" t="n">
        <v>24320</v>
      </c>
      <c r="G14" s="7" t="n">
        <v>1.9</v>
      </c>
      <c r="H14" s="8" t="n">
        <f aca="false">IF(ISNUMBER(INDEX(Age_25_44_data!$E:$E,MATCH($A14,Age_25_44_data!$A:$A,0))),INDEX(Age_25_44_data!$C:$C,MATCH($A14,Age_25_44_data!$A:$A,0))/INDEX(Age_25_44_data!$E:$E,MATCH($A14,Age_25_44_data!$A:$A,0)),INDEX(Age_25_44_data!$B:$B,MATCH($A14,Age_25_44_data!$A:$A,0))/$C14)</f>
        <v>0.294353004475531</v>
      </c>
      <c r="I14" s="9" t="s">
        <v>12</v>
      </c>
      <c r="J14" s="10" t="s">
        <v>41</v>
      </c>
    </row>
    <row r="15" customFormat="false" ht="15" hidden="false" customHeight="true" outlineLevel="0" collapsed="false">
      <c r="A15" s="3" t="s">
        <v>42</v>
      </c>
      <c r="B15" s="3" t="s">
        <v>43</v>
      </c>
      <c r="C15" s="4" t="n">
        <v>116557</v>
      </c>
      <c r="D15" s="5" t="n">
        <v>116.9</v>
      </c>
      <c r="E15" s="6" t="n">
        <f aca="false">IF(AND(ISNUMBER(C15),ISNUMBER(D15),D15&gt;0),C15/D15,"")</f>
        <v>997.065868263473</v>
      </c>
      <c r="F15" s="4" t="n">
        <v>26174</v>
      </c>
      <c r="G15" s="7" t="n">
        <v>2</v>
      </c>
      <c r="H15" s="11" t="n">
        <f aca="false">IF(ISNUMBER(INDEX(Age_25_44_data!$E:$E,MATCH($A15,Age_25_44_data!$A:$A,0))),INDEX(Age_25_44_data!$C:$C,MATCH($A15,Age_25_44_data!$A:$A,0))/INDEX(Age_25_44_data!$E:$E,MATCH($A15,Age_25_44_data!$A:$A,0)),INDEX(Age_25_44_data!$B:$B,MATCH($A15,Age_25_44_data!$A:$A,0))/$C15)</f>
        <v>0.308621532812272</v>
      </c>
      <c r="I15" s="9" t="s">
        <v>12</v>
      </c>
      <c r="J15" s="10" t="s">
        <v>44</v>
      </c>
    </row>
    <row r="16" customFormat="false" ht="15" hidden="false" customHeight="true" outlineLevel="0" collapsed="false">
      <c r="A16" s="3" t="s">
        <v>45</v>
      </c>
      <c r="B16" s="3" t="s">
        <v>46</v>
      </c>
      <c r="C16" s="4" t="n">
        <v>208400</v>
      </c>
      <c r="D16" s="5" t="n">
        <v>181.4</v>
      </c>
      <c r="E16" s="6" t="n">
        <f aca="false">IF(AND(ISNUMBER(C16),ISNUMBER(D16),D16&gt;0),C16/D16,"")</f>
        <v>1148.84233737596</v>
      </c>
      <c r="F16" s="4" t="n">
        <v>23979</v>
      </c>
      <c r="G16" s="7" t="n">
        <v>1.7</v>
      </c>
      <c r="H16" s="8" t="n">
        <f aca="false">IF(ISNUMBER(INDEX(Age_25_44_data!$E:$E,MATCH($A16,Age_25_44_data!$A:$A,0))),INDEX(Age_25_44_data!$C:$C,MATCH($A16,Age_25_44_data!$A:$A,0))/INDEX(Age_25_44_data!$E:$E,MATCH($A16,Age_25_44_data!$A:$A,0)),INDEX(Age_25_44_data!$B:$B,MATCH($A16,Age_25_44_data!$A:$A,0))/$C16)</f>
        <v>0.280179503513059</v>
      </c>
      <c r="I16" s="9" t="s">
        <v>12</v>
      </c>
      <c r="J16" s="10" t="s">
        <v>47</v>
      </c>
    </row>
    <row r="17" customFormat="false" ht="15" hidden="false" customHeight="true" outlineLevel="0" collapsed="false">
      <c r="A17" s="3" t="s">
        <v>48</v>
      </c>
      <c r="B17" s="3" t="s">
        <v>49</v>
      </c>
      <c r="C17" s="4" t="n">
        <v>188713</v>
      </c>
      <c r="D17" s="5" t="n">
        <v>160.4</v>
      </c>
      <c r="E17" s="6" t="n">
        <f aca="false">IF(AND(ISNUMBER(C17),ISNUMBER(D17),D17&gt;0),C17/D17,"")</f>
        <v>1176.51496259352</v>
      </c>
      <c r="F17" s="4" t="n">
        <v>23956</v>
      </c>
      <c r="G17" s="7" t="n">
        <v>2</v>
      </c>
      <c r="H17" s="8" t="n">
        <f aca="false">IF(ISNUMBER(INDEX(Age_25_44_data!$E:$E,MATCH($A17,Age_25_44_data!$A:$A,0))),INDEX(Age_25_44_data!$C:$C,MATCH($A17,Age_25_44_data!$A:$A,0))/INDEX(Age_25_44_data!$E:$E,MATCH($A17,Age_25_44_data!$A:$A,0)),INDEX(Age_25_44_data!$B:$B,MATCH($A17,Age_25_44_data!$A:$A,0))/$C17)</f>
        <v>0.244581538574817</v>
      </c>
      <c r="I17" s="9" t="s">
        <v>12</v>
      </c>
      <c r="J17" s="10" t="s">
        <v>50</v>
      </c>
    </row>
    <row r="18" customFormat="false" ht="15" hidden="false" customHeight="true" outlineLevel="0" collapsed="false">
      <c r="A18" s="3" t="s">
        <v>51</v>
      </c>
      <c r="B18" s="3" t="s">
        <v>49</v>
      </c>
      <c r="C18" s="4" t="n">
        <v>158957</v>
      </c>
      <c r="D18" s="5" t="n">
        <v>89.5</v>
      </c>
      <c r="E18" s="6" t="n">
        <f aca="false">IF(AND(ISNUMBER(C18),ISNUMBER(D18),D18&gt;0),C18/D18,"")</f>
        <v>1776.05586592179</v>
      </c>
      <c r="F18" s="4" t="n">
        <v>28618</v>
      </c>
      <c r="G18" s="7" t="n">
        <v>2</v>
      </c>
      <c r="H18" s="8" t="n">
        <f aca="false">IF(ISNUMBER(INDEX(Age_25_44_data!$E:$E,MATCH($A18,Age_25_44_data!$A:$A,0))),INDEX(Age_25_44_data!$C:$C,MATCH($A18,Age_25_44_data!$A:$A,0))/INDEX(Age_25_44_data!$E:$E,MATCH($A18,Age_25_44_data!$A:$A,0)),INDEX(Age_25_44_data!$B:$B,MATCH($A18,Age_25_44_data!$A:$A,0))/$C18)</f>
        <v>0.251163916719431</v>
      </c>
      <c r="I18" s="9" t="s">
        <v>12</v>
      </c>
      <c r="J18" s="10" t="s">
        <v>52</v>
      </c>
    </row>
    <row r="19" customFormat="false" ht="15" hidden="false" customHeight="true" outlineLevel="0" collapsed="false">
      <c r="A19" s="3" t="s">
        <v>53</v>
      </c>
      <c r="B19" s="3" t="s">
        <v>49</v>
      </c>
      <c r="C19" s="4" t="n">
        <v>111645</v>
      </c>
      <c r="D19" s="5" t="n">
        <v>83.1</v>
      </c>
      <c r="E19" s="6" t="n">
        <f aca="false">IF(AND(ISNUMBER(C19),ISNUMBER(D19),D19&gt;0),C19/D19,"")</f>
        <v>1343.50180505415</v>
      </c>
      <c r="F19" s="4" t="n">
        <v>32592</v>
      </c>
      <c r="G19" s="7" t="n">
        <v>2.1</v>
      </c>
      <c r="H19" s="11" t="n">
        <f aca="false">IF(ISNUMBER(INDEX(Age_25_44_data!$E:$E,MATCH($A19,Age_25_44_data!$A:$A,0))),INDEX(Age_25_44_data!$C:$C,MATCH($A19,Age_25_44_data!$A:$A,0))/INDEX(Age_25_44_data!$E:$E,MATCH($A19,Age_25_44_data!$A:$A,0)),INDEX(Age_25_44_data!$B:$B,MATCH($A19,Age_25_44_data!$A:$A,0))/$C19)</f>
        <v>0.216650991983519</v>
      </c>
      <c r="I19" s="9" t="s">
        <v>12</v>
      </c>
      <c r="J19" s="10" t="s">
        <v>54</v>
      </c>
    </row>
    <row r="20" customFormat="false" ht="15" hidden="false" customHeight="true" outlineLevel="0" collapsed="false">
      <c r="A20" s="3" t="s">
        <v>55</v>
      </c>
      <c r="B20" s="3" t="s">
        <v>49</v>
      </c>
      <c r="C20" s="4" t="n">
        <v>110714</v>
      </c>
      <c r="D20" s="5" t="n">
        <v>66.4</v>
      </c>
      <c r="E20" s="6" t="n">
        <f aca="false">IF(AND(ISNUMBER(C20),ISNUMBER(D20),D20&gt;0),C20/D20,"")</f>
        <v>1667.37951807229</v>
      </c>
      <c r="F20" s="4" t="n">
        <v>25686</v>
      </c>
      <c r="G20" s="7" t="n">
        <v>2</v>
      </c>
      <c r="H20" s="11" t="n">
        <f aca="false">IF(ISNUMBER(INDEX(Age_25_44_data!$E:$E,MATCH($A20,Age_25_44_data!$A:$A,0))),INDEX(Age_25_44_data!$C:$C,MATCH($A20,Age_25_44_data!$A:$A,0))/INDEX(Age_25_44_data!$E:$E,MATCH($A20,Age_25_44_data!$A:$A,0)),INDEX(Age_25_44_data!$B:$B,MATCH($A20,Age_25_44_data!$A:$A,0))/$C20)</f>
        <v>0.22477735426414</v>
      </c>
      <c r="I20" s="9" t="s">
        <v>12</v>
      </c>
      <c r="J20" s="10" t="s">
        <v>56</v>
      </c>
    </row>
    <row r="21" customFormat="false" ht="15" hidden="false" customHeight="true" outlineLevel="0" collapsed="false">
      <c r="A21" s="3" t="s">
        <v>57</v>
      </c>
      <c r="B21" s="3" t="s">
        <v>49</v>
      </c>
      <c r="C21" s="4" t="n">
        <v>117311</v>
      </c>
      <c r="D21" s="5" t="n">
        <v>100.7</v>
      </c>
      <c r="E21" s="6" t="n">
        <f aca="false">IF(AND(ISNUMBER(C21),ISNUMBER(D21),D21&gt;0),C21/D21,"")</f>
        <v>1164.95531281033</v>
      </c>
      <c r="F21" s="4" t="n">
        <v>26108</v>
      </c>
      <c r="G21" s="7" t="n">
        <v>2</v>
      </c>
      <c r="H21" s="8" t="n">
        <f aca="false">IF(ISNUMBER(INDEX(Age_25_44_data!$E:$E,MATCH($A21,Age_25_44_data!$A:$A,0))),INDEX(Age_25_44_data!$C:$C,MATCH($A21,Age_25_44_data!$A:$A,0))/INDEX(Age_25_44_data!$E:$E,MATCH($A21,Age_25_44_data!$A:$A,0)),INDEX(Age_25_44_data!$B:$B,MATCH($A21,Age_25_44_data!$A:$A,0))/$C21)</f>
        <v>0.243917269802127</v>
      </c>
      <c r="I21" s="9" t="s">
        <v>12</v>
      </c>
      <c r="J21" s="10" t="s">
        <v>58</v>
      </c>
    </row>
    <row r="22" customFormat="false" ht="15" hidden="false" customHeight="true" outlineLevel="0" collapsed="false">
      <c r="A22" s="3" t="s">
        <v>59</v>
      </c>
      <c r="B22" s="3" t="s">
        <v>60</v>
      </c>
      <c r="C22" s="4" t="n">
        <v>217556</v>
      </c>
      <c r="D22" s="5" t="n">
        <v>97.7</v>
      </c>
      <c r="E22" s="6" t="n">
        <f aca="false">IF(AND(ISNUMBER(C22),ISNUMBER(D22),D22&gt;0),C22/D22,"")</f>
        <v>2226.7758444217</v>
      </c>
      <c r="F22" s="4" t="n">
        <v>27153</v>
      </c>
      <c r="G22" s="7" t="n">
        <v>1.9</v>
      </c>
      <c r="H22" s="8" t="n">
        <f aca="false">IF(ISNUMBER(INDEX(Age_25_44_data!$E:$E,MATCH($A22,Age_25_44_data!$A:$A,0))),INDEX(Age_25_44_data!$C:$C,MATCH($A22,Age_25_44_data!$A:$A,0))/INDEX(Age_25_44_data!$E:$E,MATCH($A22,Age_25_44_data!$A:$A,0)),INDEX(Age_25_44_data!$B:$B,MATCH($A22,Age_25_44_data!$A:$A,0))/$C22)</f>
        <v>0.334053464069385</v>
      </c>
      <c r="I22" s="9" t="s">
        <v>12</v>
      </c>
      <c r="J22" s="10" t="s">
        <v>61</v>
      </c>
    </row>
    <row r="23" customFormat="false" ht="15" hidden="false" customHeight="true" outlineLevel="0" collapsed="false">
      <c r="A23" s="3" t="s">
        <v>62</v>
      </c>
      <c r="B23" s="3" t="s">
        <v>60</v>
      </c>
      <c r="C23" s="4" t="n">
        <v>113638</v>
      </c>
      <c r="D23" s="5" t="n">
        <v>105</v>
      </c>
      <c r="E23" s="6" t="n">
        <f aca="false">IF(AND(ISNUMBER(C23),ISNUMBER(D23),D23&gt;0),C23/D23,"")</f>
        <v>1082.26666666667</v>
      </c>
      <c r="F23" s="4" t="n">
        <v>26475</v>
      </c>
      <c r="G23" s="7" t="n">
        <v>1.9</v>
      </c>
      <c r="H23" s="8" t="n">
        <f aca="false">IF(ISNUMBER(INDEX(Age_25_44_data!$E:$E,MATCH($A23,Age_25_44_data!$A:$A,0))),INDEX(Age_25_44_data!$C:$C,MATCH($A23,Age_25_44_data!$A:$A,0))/INDEX(Age_25_44_data!$E:$E,MATCH($A23,Age_25_44_data!$A:$A,0)),INDEX(Age_25_44_data!$B:$B,MATCH($A23,Age_25_44_data!$A:$A,0))/$C23)</f>
        <v>0.296600539541823</v>
      </c>
      <c r="I23" s="9" t="s">
        <v>12</v>
      </c>
      <c r="J23" s="10" t="s">
        <v>63</v>
      </c>
    </row>
    <row r="24" customFormat="false" ht="15" hidden="false" customHeight="true" outlineLevel="0" collapsed="false">
      <c r="A24" s="3" t="s">
        <v>64</v>
      </c>
      <c r="B24" s="3" t="s">
        <v>60</v>
      </c>
      <c r="C24" s="4" t="n">
        <v>110570</v>
      </c>
      <c r="D24" s="5" t="n">
        <v>117.1</v>
      </c>
      <c r="E24" s="6" t="n">
        <f aca="false">IF(AND(ISNUMBER(C24),ISNUMBER(D24),D24&gt;0),C24/D24,"")</f>
        <v>944.235695986337</v>
      </c>
      <c r="F24" s="4" t="n">
        <v>26127</v>
      </c>
      <c r="G24" s="7" t="n">
        <v>1.8</v>
      </c>
      <c r="H24" s="8" t="n">
        <f aca="false">IF(ISNUMBER(INDEX(Age_25_44_data!$E:$E,MATCH($A24,Age_25_44_data!$A:$A,0))),INDEX(Age_25_44_data!$C:$C,MATCH($A24,Age_25_44_data!$A:$A,0))/INDEX(Age_25_44_data!$E:$E,MATCH($A24,Age_25_44_data!$A:$A,0)),INDEX(Age_25_44_data!$B:$B,MATCH($A24,Age_25_44_data!$A:$A,0))/$C24)</f>
        <v>0.319296498497324</v>
      </c>
      <c r="I24" s="9" t="s">
        <v>12</v>
      </c>
      <c r="J24" s="10" t="s">
        <v>65</v>
      </c>
    </row>
    <row r="25" customFormat="false" ht="15" hidden="false" customHeight="true" outlineLevel="0" collapsed="false">
      <c r="A25" s="3" t="s">
        <v>66</v>
      </c>
      <c r="B25" s="3" t="s">
        <v>60</v>
      </c>
      <c r="C25" s="4" t="n">
        <v>172145</v>
      </c>
      <c r="D25" s="5" t="n">
        <v>77.7</v>
      </c>
      <c r="E25" s="6" t="n">
        <f aca="false">IF(AND(ISNUMBER(C25),ISNUMBER(D25),D25&gt;0),C25/D25,"")</f>
        <v>2215.50836550837</v>
      </c>
      <c r="F25" s="4" t="n">
        <v>23283</v>
      </c>
      <c r="G25" s="7" t="n">
        <v>2.1</v>
      </c>
      <c r="H25" s="8" t="n">
        <f aca="false">IF(ISNUMBER(INDEX(Age_25_44_data!$E:$E,MATCH($A25,Age_25_44_data!$A:$A,0))),INDEX(Age_25_44_data!$C:$C,MATCH($A25,Age_25_44_data!$A:$A,0))/INDEX(Age_25_44_data!$E:$E,MATCH($A25,Age_25_44_data!$A:$A,0)),INDEX(Age_25_44_data!$B:$B,MATCH($A25,Age_25_44_data!$A:$A,0))/$C25)</f>
        <v>0.278552183939539</v>
      </c>
      <c r="I25" s="9" t="s">
        <v>12</v>
      </c>
      <c r="J25" s="10" t="s">
        <v>67</v>
      </c>
    </row>
    <row r="26" customFormat="false" ht="15" hidden="false" customHeight="true" outlineLevel="0" collapsed="false">
      <c r="A26" s="3" t="s">
        <v>68</v>
      </c>
      <c r="B26" s="3" t="s">
        <v>69</v>
      </c>
      <c r="C26" s="4" t="n">
        <v>179634</v>
      </c>
      <c r="D26" s="5" t="n">
        <v>167.1</v>
      </c>
      <c r="E26" s="6" t="n">
        <f aca="false">IF(AND(ISNUMBER(C26),ISNUMBER(D26),D26&gt;0),C26/D26,"")</f>
        <v>1075.00897666068</v>
      </c>
      <c r="F26" s="4" t="n">
        <v>25033</v>
      </c>
      <c r="G26" s="7" t="n">
        <v>2</v>
      </c>
      <c r="H26" s="11" t="n">
        <f aca="false">IF(ISNUMBER(INDEX(Age_25_44_data!$E:$E,MATCH($A26,Age_25_44_data!$A:$A,0))),INDEX(Age_25_44_data!$C:$C,MATCH($A26,Age_25_44_data!$A:$A,0))/INDEX(Age_25_44_data!$E:$E,MATCH($A26,Age_25_44_data!$A:$A,0)),INDEX(Age_25_44_data!$B:$B,MATCH($A26,Age_25_44_data!$A:$A,0))/$C26)</f>
        <v>0.278527450259973</v>
      </c>
      <c r="I26" s="9" t="s">
        <v>12</v>
      </c>
      <c r="J26" s="10" t="s">
        <v>70</v>
      </c>
    </row>
    <row r="27" customFormat="false" ht="15" hidden="false" customHeight="true" outlineLevel="0" collapsed="false">
      <c r="A27" s="3" t="s">
        <v>71</v>
      </c>
      <c r="B27" s="3" t="s">
        <v>72</v>
      </c>
      <c r="C27" s="4" t="n">
        <v>601866</v>
      </c>
      <c r="D27" s="5" t="n">
        <v>297.4</v>
      </c>
      <c r="E27" s="6" t="n">
        <f aca="false">IF(AND(ISNUMBER(C27),ISNUMBER(D27),D27&gt;0),C27/D27,"")</f>
        <v>2023.75924680565</v>
      </c>
      <c r="F27" s="4" t="n">
        <v>23683</v>
      </c>
      <c r="G27" s="7" t="n">
        <v>1.8</v>
      </c>
      <c r="H27" s="8" t="n">
        <f aca="false">IF(ISNUMBER(INDEX(Age_25_44_data!$E:$E,MATCH($A27,Age_25_44_data!$A:$A,0))),INDEX(Age_25_44_data!$C:$C,MATCH($A27,Age_25_44_data!$A:$A,0))/INDEX(Age_25_44_data!$E:$E,MATCH($A27,Age_25_44_data!$A:$A,0)),INDEX(Age_25_44_data!$B:$B,MATCH($A27,Age_25_44_data!$A:$A,0))/$C27)</f>
        <v>0.328511209819009</v>
      </c>
      <c r="I27" s="9" t="s">
        <v>12</v>
      </c>
      <c r="J27" s="10" t="s">
        <v>73</v>
      </c>
    </row>
    <row r="28" customFormat="false" ht="15" hidden="false" customHeight="true" outlineLevel="0" collapsed="false">
      <c r="A28" s="3" t="s">
        <v>74</v>
      </c>
      <c r="B28" s="3" t="s">
        <v>72</v>
      </c>
      <c r="C28" s="4" t="n">
        <v>243105</v>
      </c>
      <c r="D28" s="5" t="n">
        <v>220.85</v>
      </c>
      <c r="E28" s="6" t="n">
        <f aca="false">IF(AND(ISNUMBER(C28),ISNUMBER(D28),D28&gt;0),C28/D28,"")</f>
        <v>1100.76975322617</v>
      </c>
      <c r="F28" s="4" t="n">
        <v>24904</v>
      </c>
      <c r="G28" s="7" t="n">
        <v>1.8</v>
      </c>
      <c r="H28" s="8" t="n">
        <f aca="false">IF(ISNUMBER(INDEX(Age_25_44_data!$E:$E,MATCH($A28,Age_25_44_data!$A:$A,0))),INDEX(Age_25_44_data!$C:$C,MATCH($A28,Age_25_44_data!$A:$A,0))/INDEX(Age_25_44_data!$E:$E,MATCH($A28,Age_25_44_data!$A:$A,0)),INDEX(Age_25_44_data!$B:$B,MATCH($A28,Age_25_44_data!$A:$A,0))/$C28)</f>
        <v>0.252534842821718</v>
      </c>
      <c r="I28" s="9" t="s">
        <v>12</v>
      </c>
      <c r="J28" s="10" t="s">
        <v>75</v>
      </c>
    </row>
    <row r="29" customFormat="false" ht="15" hidden="false" customHeight="true" outlineLevel="0" collapsed="false">
      <c r="A29" s="3" t="s">
        <v>76</v>
      </c>
      <c r="B29" s="3" t="s">
        <v>77</v>
      </c>
      <c r="C29" s="4" t="n">
        <v>246243</v>
      </c>
      <c r="D29" s="5" t="n">
        <v>118.6</v>
      </c>
      <c r="E29" s="6" t="n">
        <f aca="false">IF(AND(ISNUMBER(C29),ISNUMBER(D29),D29&gt;0),C29/D29,"")</f>
        <v>2076.2478920742</v>
      </c>
      <c r="F29" s="4" t="n">
        <v>25058</v>
      </c>
      <c r="G29" s="7" t="n">
        <v>1.8</v>
      </c>
      <c r="H29" s="8" t="n">
        <f aca="false">IF(ISNUMBER(INDEX(Age_25_44_data!$E:$E,MATCH($A29,Age_25_44_data!$A:$A,0))),INDEX(Age_25_44_data!$C:$C,MATCH($A29,Age_25_44_data!$A:$A,0))/INDEX(Age_25_44_data!$E:$E,MATCH($A29,Age_25_44_data!$A:$A,0)),INDEX(Age_25_44_data!$B:$B,MATCH($A29,Age_25_44_data!$A:$A,0))/$C29)</f>
        <v>0.308298596427636</v>
      </c>
      <c r="I29" s="9" t="s">
        <v>12</v>
      </c>
      <c r="J29" s="10" t="s">
        <v>78</v>
      </c>
    </row>
    <row r="30" customFormat="false" ht="15" hidden="false" customHeight="true" outlineLevel="0" collapsed="false">
      <c r="A30" s="3" t="s">
        <v>79</v>
      </c>
      <c r="B30" s="3" t="s">
        <v>80</v>
      </c>
      <c r="C30" s="4" t="n">
        <v>213227</v>
      </c>
      <c r="D30" s="5" t="n">
        <v>269.2</v>
      </c>
      <c r="E30" s="6" t="n">
        <f aca="false">IF(AND(ISNUMBER(C30),ISNUMBER(D30),D30&gt;0),C30/D30,"")</f>
        <v>792.076523031204</v>
      </c>
      <c r="F30" s="4" t="n">
        <v>25276</v>
      </c>
      <c r="G30" s="7" t="n">
        <v>1.9</v>
      </c>
      <c r="H30" s="8" t="n">
        <f aca="false">IF(ISNUMBER(INDEX(Age_25_44_data!$E:$E,MATCH($A30,Age_25_44_data!$A:$A,0))),INDEX(Age_25_44_data!$C:$C,MATCH($A30,Age_25_44_data!$A:$A,0))/INDEX(Age_25_44_data!$E:$E,MATCH($A30,Age_25_44_data!$A:$A,0)),INDEX(Age_25_44_data!$B:$B,MATCH($A30,Age_25_44_data!$A:$A,0))/$C30)</f>
        <v>0.271068446326897</v>
      </c>
      <c r="I30" s="9" t="s">
        <v>12</v>
      </c>
      <c r="J30" s="10" t="s">
        <v>81</v>
      </c>
    </row>
    <row r="31" customFormat="false" ht="15" hidden="false" customHeight="true" outlineLevel="0" collapsed="false">
      <c r="A31" s="3" t="s">
        <v>82</v>
      </c>
      <c r="B31" s="3" t="s">
        <v>80</v>
      </c>
      <c r="C31" s="4" t="n">
        <v>110502</v>
      </c>
      <c r="D31" s="5" t="n">
        <v>114.8</v>
      </c>
      <c r="E31" s="6" t="n">
        <f aca="false">IF(AND(ISNUMBER(C31),ISNUMBER(D31),D31&gt;0),C31/D31,"")</f>
        <v>962.560975609756</v>
      </c>
      <c r="F31" s="4" t="n">
        <v>25960</v>
      </c>
      <c r="G31" s="7" t="n">
        <v>1.9</v>
      </c>
      <c r="H31" s="8" t="n">
        <f aca="false">IF(ISNUMBER(INDEX(Age_25_44_data!$E:$E,MATCH($A31,Age_25_44_data!$A:$A,0))),INDEX(Age_25_44_data!$C:$C,MATCH($A31,Age_25_44_data!$A:$A,0))/INDEX(Age_25_44_data!$E:$E,MATCH($A31,Age_25_44_data!$A:$A,0)),INDEX(Age_25_44_data!$B:$B,MATCH($A31,Age_25_44_data!$A:$A,0))/$C31)</f>
        <v>0.310043156652341</v>
      </c>
      <c r="I31" s="9" t="s">
        <v>12</v>
      </c>
      <c r="J31" s="10" t="s">
        <v>83</v>
      </c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</sheetData>
  <autoFilter ref="A1:J31"/>
  <dataValidations count="1">
    <dataValidation allowBlank="true" errorStyle="stop" operator="between" showDropDown="false" showErrorMessage="false" showInputMessage="false" sqref="I2:I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5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12" t="s">
        <v>84</v>
      </c>
      <c r="B1" s="13"/>
    </row>
    <row r="2" customFormat="false" ht="23.25" hidden="false" customHeight="true" outlineLevel="0" collapsed="false">
      <c r="A2" s="14" t="s">
        <v>85</v>
      </c>
      <c r="B2" s="13" t="s">
        <v>86</v>
      </c>
    </row>
    <row r="3" customFormat="false" ht="23.25" hidden="false" customHeight="true" outlineLevel="0" collapsed="false">
      <c r="A3" s="14" t="s">
        <v>87</v>
      </c>
      <c r="B3" s="13" t="s">
        <v>88</v>
      </c>
    </row>
    <row r="4" customFormat="false" ht="15" hidden="false" customHeight="true" outlineLevel="0" collapsed="false">
      <c r="A4" s="14" t="s">
        <v>89</v>
      </c>
      <c r="B4" s="13" t="s">
        <v>90</v>
      </c>
    </row>
    <row r="5" customFormat="false" ht="23.25" hidden="false" customHeight="true" outlineLevel="0" collapsed="false">
      <c r="A5" s="14" t="s">
        <v>8</v>
      </c>
      <c r="B5" s="13" t="s">
        <v>91</v>
      </c>
    </row>
    <row r="6" customFormat="false" ht="15" hidden="false" customHeight="true" outlineLevel="0" collapsed="false">
      <c r="A6" s="14" t="s">
        <v>9</v>
      </c>
      <c r="B6" s="13" t="s">
        <v>92</v>
      </c>
    </row>
    <row r="7" customFormat="false" ht="15" hidden="false" customHeight="true" outlineLevel="0" collapsed="false">
      <c r="A7" s="14" t="s">
        <v>93</v>
      </c>
      <c r="B7" s="13" t="s">
        <v>94</v>
      </c>
    </row>
    <row r="8" customFormat="false" ht="15" hidden="false" customHeight="true" outlineLevel="0" collapsed="false">
      <c r="A8" s="14"/>
      <c r="B8" s="13"/>
    </row>
    <row r="9" customFormat="false" ht="15" hidden="false" customHeight="true" outlineLevel="0" collapsed="false">
      <c r="A9" s="14" t="s">
        <v>95</v>
      </c>
      <c r="B9" s="13" t="s">
        <v>96</v>
      </c>
    </row>
    <row r="10" customFormat="false" ht="15" hidden="false" customHeight="true" outlineLevel="0" collapsed="false">
      <c r="A10" s="14" t="s">
        <v>97</v>
      </c>
      <c r="B10" s="13" t="s">
        <v>98</v>
      </c>
    </row>
    <row r="11" customFormat="false" ht="23.25" hidden="false" customHeight="true" outlineLevel="0" collapsed="false">
      <c r="A11" s="14" t="s">
        <v>99</v>
      </c>
      <c r="B11" s="13" t="s">
        <v>100</v>
      </c>
    </row>
    <row r="12" customFormat="false" ht="15" hidden="false" customHeight="true" outlineLevel="0" collapsed="false">
      <c r="A12" s="14" t="s">
        <v>101</v>
      </c>
      <c r="B12" s="13" t="s">
        <v>102</v>
      </c>
    </row>
    <row r="13" customFormat="false" ht="15" hidden="false" customHeight="true" outlineLevel="0" collapsed="false">
      <c r="A13" s="14"/>
      <c r="B13" s="13"/>
    </row>
    <row r="14" customFormat="false" ht="15" hidden="false" customHeight="true" outlineLevel="0" collapsed="false">
      <c r="A14" s="14" t="s">
        <v>103</v>
      </c>
      <c r="B14" s="13" t="s">
        <v>104</v>
      </c>
    </row>
    <row r="15" customFormat="false" ht="15" hidden="false" customHeight="true" outlineLevel="0" collapsed="false">
      <c r="A15" s="15" t="s">
        <v>0</v>
      </c>
      <c r="B15" s="15" t="s">
        <v>2</v>
      </c>
      <c r="C15" s="15" t="s">
        <v>3</v>
      </c>
      <c r="D15" s="15" t="s">
        <v>105</v>
      </c>
      <c r="E15" s="15" t="s">
        <v>106</v>
      </c>
      <c r="F15" s="15" t="s">
        <v>107</v>
      </c>
      <c r="G15" s="15" t="s">
        <v>108</v>
      </c>
    </row>
    <row r="16" customFormat="false" ht="15" hidden="false" customHeight="true" outlineLevel="0" collapsed="false">
      <c r="A16" s="16" t="s">
        <v>109</v>
      </c>
      <c r="B16" s="17" t="n">
        <v>250000</v>
      </c>
      <c r="C16" s="16" t="n">
        <v>120.5</v>
      </c>
      <c r="D16" s="16" t="n">
        <v>23000</v>
      </c>
      <c r="E16" s="16" t="n">
        <v>2</v>
      </c>
      <c r="F16" s="18" t="n">
        <v>0.42</v>
      </c>
      <c r="G16" s="16" t="s">
        <v>12</v>
      </c>
    </row>
    <row r="19" customFormat="false" ht="15" hidden="false" customHeight="true" outlineLevel="0" collapsed="false">
      <c r="A19" s="19" t="s">
        <v>110</v>
      </c>
    </row>
    <row r="20" customFormat="false" ht="15" hidden="false" customHeight="true" outlineLevel="0" collapsed="false">
      <c r="A20" s="13" t="s">
        <v>111</v>
      </c>
      <c r="B20" s="20" t="n">
        <f aca="false">COUNTA(Cities!A2:A115)</f>
        <v>30</v>
      </c>
    </row>
    <row r="21" customFormat="false" ht="15" hidden="false" customHeight="true" outlineLevel="0" collapsed="false">
      <c r="A21" s="13" t="s">
        <v>112</v>
      </c>
      <c r="B21" s="20" t="n">
        <f aca="false">COUNTIF(Cities!I2:I115,"No")</f>
        <v>30</v>
      </c>
    </row>
    <row r="22" customFormat="false" ht="23.25" hidden="false" customHeight="true" outlineLevel="0" collapsed="false">
      <c r="A22" s="13" t="s">
        <v>113</v>
      </c>
      <c r="B22" s="20" t="n">
        <f aca="false">SUMPRODUCT((Cities!I2:I115="No")*(Cities!C2:C115&lt;&gt;"")*(Cities!D2:D115&lt;&gt;"")*(Cities!F2:F115&lt;&gt;"")*(Cities!G2:G115&lt;&gt;"")*(Cities!H2:H115&lt;&gt;""))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0"/>
    <col collapsed="false" customWidth="true" hidden="false" outlineLevel="0" max="4" min="4" style="1" width="90"/>
    <col collapsed="false" customWidth="true" hidden="false" outlineLevel="0" max="5" min="5" style="1" width="18"/>
  </cols>
  <sheetData>
    <row r="1" customFormat="false" ht="26.25" hidden="false" customHeight="true" outlineLevel="0" collapsed="false">
      <c r="A1" s="21" t="s">
        <v>0</v>
      </c>
      <c r="B1" s="21" t="s">
        <v>114</v>
      </c>
      <c r="C1" s="21" t="s">
        <v>115</v>
      </c>
      <c r="D1" s="21" t="s">
        <v>116</v>
      </c>
      <c r="E1" s="21" t="s">
        <v>117</v>
      </c>
    </row>
    <row r="2" customFormat="false" ht="15" hidden="false" customHeight="true" outlineLevel="0" collapsed="false">
      <c r="A2" s="22" t="s">
        <v>10</v>
      </c>
      <c r="B2" s="23" t="n">
        <v>73538</v>
      </c>
      <c r="C2" s="23" t="n">
        <v>76292</v>
      </c>
      <c r="D2" s="22" t="s">
        <v>118</v>
      </c>
      <c r="E2" s="24" t="n">
        <v>236692</v>
      </c>
    </row>
    <row r="3" customFormat="false" ht="15" hidden="false" customHeight="true" outlineLevel="0" collapsed="false">
      <c r="A3" s="22" t="s">
        <v>14</v>
      </c>
      <c r="B3" s="23" t="n">
        <v>38313</v>
      </c>
      <c r="C3" s="23" t="n">
        <v>39672</v>
      </c>
      <c r="D3" s="22" t="s">
        <v>118</v>
      </c>
      <c r="E3" s="24" t="n">
        <v>129435</v>
      </c>
    </row>
    <row r="4" customFormat="false" ht="15" hidden="false" customHeight="true" outlineLevel="0" collapsed="false">
      <c r="A4" s="22" t="s">
        <v>16</v>
      </c>
      <c r="B4" s="23" t="n">
        <v>33788</v>
      </c>
      <c r="C4" s="23" t="n">
        <v>35394</v>
      </c>
      <c r="D4" s="22" t="s">
        <v>118</v>
      </c>
      <c r="E4" s="24" t="n">
        <v>128421</v>
      </c>
    </row>
    <row r="5" customFormat="false" ht="15" hidden="false" customHeight="true" outlineLevel="0" collapsed="false">
      <c r="A5" s="22" t="s">
        <v>18</v>
      </c>
      <c r="B5" s="23" t="n">
        <v>29817</v>
      </c>
      <c r="C5" s="23" t="n">
        <v>30868</v>
      </c>
      <c r="D5" s="22" t="s">
        <v>118</v>
      </c>
      <c r="E5" s="25"/>
    </row>
    <row r="6" customFormat="false" ht="15" hidden="false" customHeight="true" outlineLevel="0" collapsed="false">
      <c r="A6" s="22" t="s">
        <v>20</v>
      </c>
      <c r="B6" s="23" t="n">
        <v>90370</v>
      </c>
      <c r="C6" s="23" t="n">
        <v>93863</v>
      </c>
      <c r="D6" s="22" t="s">
        <v>118</v>
      </c>
      <c r="E6" s="24" t="n">
        <v>302092</v>
      </c>
    </row>
    <row r="7" customFormat="false" ht="15" hidden="false" customHeight="true" outlineLevel="0" collapsed="false">
      <c r="A7" s="22" t="s">
        <v>23</v>
      </c>
      <c r="B7" s="23" t="n">
        <v>51817</v>
      </c>
      <c r="C7" s="23" t="n">
        <v>55096</v>
      </c>
      <c r="D7" s="22" t="s">
        <v>118</v>
      </c>
      <c r="E7" s="24" t="n">
        <v>158454</v>
      </c>
    </row>
    <row r="8" customFormat="false" ht="15" hidden="false" customHeight="true" outlineLevel="0" collapsed="false">
      <c r="A8" s="22" t="s">
        <v>25</v>
      </c>
      <c r="B8" s="23" t="n">
        <v>41412</v>
      </c>
      <c r="C8" s="23" t="n">
        <v>43159</v>
      </c>
      <c r="D8" s="22" t="s">
        <v>118</v>
      </c>
      <c r="E8" s="24" t="n">
        <v>141669</v>
      </c>
    </row>
    <row r="9" customFormat="false" ht="15" hidden="false" customHeight="true" outlineLevel="0" collapsed="false">
      <c r="A9" s="22" t="s">
        <v>27</v>
      </c>
      <c r="B9" s="23" t="n">
        <v>36650</v>
      </c>
      <c r="C9" s="23" t="n">
        <v>37973</v>
      </c>
      <c r="D9" s="22" t="s">
        <v>118</v>
      </c>
      <c r="E9" s="24" t="n">
        <v>131733</v>
      </c>
    </row>
    <row r="10" customFormat="false" ht="15" hidden="false" customHeight="true" outlineLevel="0" collapsed="false">
      <c r="A10" s="22" t="s">
        <v>29</v>
      </c>
      <c r="B10" s="23" t="n">
        <v>35875</v>
      </c>
      <c r="C10" s="23" t="n">
        <v>38629</v>
      </c>
      <c r="D10" s="22" t="s">
        <v>118</v>
      </c>
      <c r="E10" s="24" t="n">
        <v>117184</v>
      </c>
    </row>
    <row r="11" customFormat="false" ht="15" hidden="false" customHeight="true" outlineLevel="0" collapsed="false">
      <c r="A11" s="22" t="s">
        <v>31</v>
      </c>
      <c r="B11" s="23" t="n">
        <v>54070</v>
      </c>
      <c r="C11" s="23" t="n">
        <v>54287</v>
      </c>
      <c r="D11" s="22" t="s">
        <v>118</v>
      </c>
      <c r="E11" s="24" t="n">
        <v>186435</v>
      </c>
    </row>
    <row r="12" customFormat="false" ht="15" hidden="false" customHeight="true" outlineLevel="0" collapsed="false">
      <c r="A12" s="22" t="s">
        <v>34</v>
      </c>
      <c r="B12" s="23" t="n">
        <v>27968</v>
      </c>
      <c r="C12" s="23" t="n">
        <v>28437</v>
      </c>
      <c r="D12" s="22" t="s">
        <v>118</v>
      </c>
      <c r="E12" s="24" t="n">
        <v>115073</v>
      </c>
    </row>
    <row r="13" customFormat="false" ht="15" hidden="false" customHeight="true" outlineLevel="0" collapsed="false">
      <c r="A13" s="22" t="s">
        <v>37</v>
      </c>
      <c r="B13" s="23" t="n">
        <v>252541</v>
      </c>
      <c r="C13" s="23" t="n">
        <v>258237</v>
      </c>
      <c r="D13" s="22" t="s">
        <v>118</v>
      </c>
      <c r="E13" s="24" t="n">
        <v>774429</v>
      </c>
    </row>
    <row r="14" customFormat="false" ht="15" hidden="false" customHeight="true" outlineLevel="0" collapsed="false">
      <c r="A14" s="22" t="s">
        <v>40</v>
      </c>
      <c r="B14" s="23" t="n">
        <v>57385</v>
      </c>
      <c r="C14" s="23" t="n">
        <v>60179</v>
      </c>
      <c r="D14" s="22" t="s">
        <v>118</v>
      </c>
      <c r="E14" s="24" t="n">
        <v>204445</v>
      </c>
    </row>
    <row r="15" customFormat="false" ht="15" hidden="false" customHeight="true" outlineLevel="0" collapsed="false">
      <c r="A15" s="22" t="s">
        <v>42</v>
      </c>
      <c r="B15" s="23" t="n">
        <v>35972</v>
      </c>
      <c r="C15" s="23" t="n">
        <v>38421</v>
      </c>
      <c r="D15" s="22" t="s">
        <v>118</v>
      </c>
      <c r="E15" s="25"/>
    </row>
    <row r="16" customFormat="false" ht="15" hidden="false" customHeight="true" outlineLevel="0" collapsed="false">
      <c r="A16" s="22" t="s">
        <v>45</v>
      </c>
      <c r="B16" s="23" t="n">
        <v>58393</v>
      </c>
      <c r="C16" s="23" t="n">
        <v>58938</v>
      </c>
      <c r="D16" s="22" t="s">
        <v>118</v>
      </c>
      <c r="E16" s="24" t="n">
        <v>210358</v>
      </c>
    </row>
    <row r="17" customFormat="false" ht="15" hidden="false" customHeight="true" outlineLevel="0" collapsed="false">
      <c r="A17" s="22" t="s">
        <v>48</v>
      </c>
      <c r="B17" s="23" t="n">
        <v>44987</v>
      </c>
      <c r="C17" s="23" t="n">
        <v>46504</v>
      </c>
      <c r="D17" s="22" t="s">
        <v>118</v>
      </c>
      <c r="E17" s="24" t="n">
        <v>190137</v>
      </c>
    </row>
    <row r="18" customFormat="false" ht="15" hidden="false" customHeight="true" outlineLevel="0" collapsed="false">
      <c r="A18" s="22" t="s">
        <v>51</v>
      </c>
      <c r="B18" s="23" t="n">
        <v>38569</v>
      </c>
      <c r="C18" s="23" t="n">
        <v>40461</v>
      </c>
      <c r="D18" s="22" t="s">
        <v>118</v>
      </c>
      <c r="E18" s="24" t="n">
        <v>161094</v>
      </c>
    </row>
    <row r="19" customFormat="false" ht="15" hidden="false" customHeight="true" outlineLevel="0" collapsed="false">
      <c r="A19" s="22" t="s">
        <v>53</v>
      </c>
      <c r="B19" s="23" t="n">
        <v>24188</v>
      </c>
      <c r="C19" s="23" t="n">
        <v>24878</v>
      </c>
      <c r="D19" s="22" t="s">
        <v>118</v>
      </c>
      <c r="E19" s="25"/>
    </row>
    <row r="20" customFormat="false" ht="15" hidden="false" customHeight="true" outlineLevel="0" collapsed="false">
      <c r="A20" s="22" t="s">
        <v>55</v>
      </c>
      <c r="B20" s="23" t="n">
        <v>24886</v>
      </c>
      <c r="C20" s="23" t="n">
        <v>25525</v>
      </c>
      <c r="D20" s="22" t="s">
        <v>118</v>
      </c>
      <c r="E20" s="25"/>
    </row>
    <row r="21" customFormat="false" ht="15" hidden="false" customHeight="true" outlineLevel="0" collapsed="false">
      <c r="A21" s="22" t="s">
        <v>57</v>
      </c>
      <c r="B21" s="23" t="n">
        <v>28018</v>
      </c>
      <c r="C21" s="23" t="n">
        <v>28882</v>
      </c>
      <c r="D21" s="22" t="s">
        <v>118</v>
      </c>
      <c r="E21" s="24" t="n">
        <v>118409</v>
      </c>
    </row>
    <row r="22" customFormat="false" ht="15" hidden="false" customHeight="true" outlineLevel="0" collapsed="false">
      <c r="A22" s="22" t="s">
        <v>59</v>
      </c>
      <c r="B22" s="23" t="n">
        <v>70810</v>
      </c>
      <c r="C22" s="23" t="n">
        <v>74066</v>
      </c>
      <c r="D22" s="22" t="s">
        <v>118</v>
      </c>
      <c r="E22" s="24" t="n">
        <v>221719</v>
      </c>
    </row>
    <row r="23" customFormat="false" ht="15" hidden="false" customHeight="true" outlineLevel="0" collapsed="false">
      <c r="A23" s="22" t="s">
        <v>62</v>
      </c>
      <c r="B23" s="23" t="n">
        <v>32896</v>
      </c>
      <c r="C23" s="23" t="n">
        <v>34193</v>
      </c>
      <c r="D23" s="22" t="s">
        <v>118</v>
      </c>
      <c r="E23" s="24" t="n">
        <v>115283</v>
      </c>
    </row>
    <row r="24" customFormat="false" ht="15" hidden="false" customHeight="true" outlineLevel="0" collapsed="false">
      <c r="A24" s="22" t="s">
        <v>64</v>
      </c>
      <c r="B24" s="23" t="n">
        <v>34455</v>
      </c>
      <c r="C24" s="23" t="n">
        <v>35910</v>
      </c>
      <c r="D24" s="22" t="s">
        <v>118</v>
      </c>
      <c r="E24" s="24" t="n">
        <v>112466</v>
      </c>
    </row>
    <row r="25" customFormat="false" ht="15" hidden="false" customHeight="true" outlineLevel="0" collapsed="false">
      <c r="A25" s="22" t="s">
        <v>66</v>
      </c>
      <c r="B25" s="23" t="n">
        <v>46880</v>
      </c>
      <c r="C25" s="23" t="n">
        <v>48799</v>
      </c>
      <c r="D25" s="22" t="s">
        <v>118</v>
      </c>
      <c r="E25" s="24" t="n">
        <v>175188</v>
      </c>
    </row>
    <row r="26" customFormat="false" ht="15" hidden="false" customHeight="true" outlineLevel="0" collapsed="false">
      <c r="A26" s="22" t="s">
        <v>68</v>
      </c>
      <c r="B26" s="23" t="n">
        <v>50033</v>
      </c>
      <c r="C26" s="23" t="n">
        <v>52337</v>
      </c>
      <c r="D26" s="22" t="s">
        <v>118</v>
      </c>
      <c r="E26" s="25"/>
    </row>
    <row r="27" customFormat="false" ht="15" hidden="false" customHeight="true" outlineLevel="0" collapsed="false">
      <c r="A27" s="22" t="s">
        <v>71</v>
      </c>
      <c r="B27" s="23" t="n">
        <v>195293</v>
      </c>
      <c r="C27" s="23" t="n">
        <v>203015</v>
      </c>
      <c r="D27" s="22" t="s">
        <v>118</v>
      </c>
      <c r="E27" s="24" t="n">
        <v>617985</v>
      </c>
    </row>
    <row r="28" customFormat="false" ht="15" hidden="false" customHeight="true" outlineLevel="0" collapsed="false">
      <c r="A28" s="22" t="s">
        <v>74</v>
      </c>
      <c r="B28" s="23" t="n">
        <v>60902</v>
      </c>
      <c r="C28" s="23" t="n">
        <v>63038</v>
      </c>
      <c r="D28" s="22" t="s">
        <v>118</v>
      </c>
      <c r="E28" s="24" t="n">
        <v>249621</v>
      </c>
    </row>
    <row r="29" customFormat="false" ht="15" hidden="false" customHeight="true" outlineLevel="0" collapsed="false">
      <c r="A29" s="22" t="s">
        <v>76</v>
      </c>
      <c r="B29" s="23" t="n">
        <v>74404</v>
      </c>
      <c r="C29" s="23" t="n">
        <v>76549</v>
      </c>
      <c r="D29" s="22" t="s">
        <v>118</v>
      </c>
      <c r="E29" s="24" t="n">
        <v>248295</v>
      </c>
    </row>
    <row r="30" customFormat="false" ht="15" hidden="false" customHeight="true" outlineLevel="0" collapsed="false">
      <c r="A30" s="22" t="s">
        <v>79</v>
      </c>
      <c r="B30" s="23" t="n">
        <v>57759</v>
      </c>
      <c r="C30" s="23" t="n">
        <v>58367</v>
      </c>
      <c r="D30" s="22" t="s">
        <v>118</v>
      </c>
      <c r="E30" s="24" t="n">
        <v>215322</v>
      </c>
    </row>
    <row r="31" customFormat="false" ht="15" hidden="false" customHeight="true" outlineLevel="0" collapsed="false">
      <c r="A31" s="22" t="s">
        <v>82</v>
      </c>
      <c r="B31" s="23" t="n">
        <v>34275</v>
      </c>
      <c r="C31" s="23" t="n">
        <v>34412</v>
      </c>
      <c r="D31" s="22" t="s">
        <v>118</v>
      </c>
      <c r="E31" s="24" t="n">
        <v>110991</v>
      </c>
    </row>
    <row r="32" customFormat="false" ht="15" hidden="false" customHeight="true" outlineLevel="0" collapsed="false"/>
    <row r="33" customFormat="false" ht="15" hidden="false" customHeight="true" outlineLevel="0" collapsed="false">
      <c r="A33" s="19" t="s">
        <v>119</v>
      </c>
    </row>
    <row r="34" customFormat="false" ht="15" hidden="false" customHeight="true" outlineLevel="0" collapsed="false">
      <c r="A34" s="22" t="s">
        <v>120</v>
      </c>
    </row>
    <row r="35" customFormat="false" ht="15" hidden="false" customHeight="true" outlineLevel="0" collapsed="false">
      <c r="A35" s="22" t="s">
        <v>121</v>
      </c>
    </row>
    <row r="36" customFormat="false" ht="15" hidden="false" customHeight="true" outlineLevel="0" collapsed="false">
      <c r="A36" s="22"/>
    </row>
    <row r="37" customFormat="false" ht="15" hidden="false" customHeight="true" outlineLevel="0" collapsed="false">
      <c r="A37" s="22" t="s">
        <v>122</v>
      </c>
    </row>
    <row r="38" customFormat="false" ht="15" hidden="false" customHeight="true" outlineLevel="0" collapsed="false">
      <c r="A38" s="22" t="s">
        <v>123</v>
      </c>
    </row>
    <row r="39" customFormat="false" ht="15" hidden="false" customHeight="true" outlineLevel="0" collapsed="false">
      <c r="A39" s="22" t="s">
        <v>124</v>
      </c>
    </row>
    <row r="40" customFormat="false" ht="15" hidden="false" customHeight="true" outlineLevel="0" collapsed="false">
      <c r="A40" s="1" t="s">
        <v>125</v>
      </c>
    </row>
    <row r="41" customFormat="false" ht="15" hidden="false" customHeight="true" outlineLevel="0" collapsed="false">
      <c r="A41" s="1" t="s">
        <v>126</v>
      </c>
    </row>
    <row r="42" customFormat="false" ht="15" hidden="false" customHeight="true" outlineLevel="0" collapsed="false">
      <c r="A42" s="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2026-10-11T16:12:04Z</dcterms:created>
  <dc:creator>openpyxl</dc:creator>
  <dc:description/>
  <dc:language>en-US</dc:language>
  <cp:lastModifiedBy/>
  <dcterms:modified xsi:type="dcterms:W3CDTF">2026-10-14T22:42:33Z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